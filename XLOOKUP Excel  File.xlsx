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mo David-ogoloma\Desktop\EXCEL FOR DATA ANALYTICS\"/>
    </mc:Choice>
  </mc:AlternateContent>
  <xr:revisionPtr revIDLastSave="0" documentId="13_ncr:1_{D8B7D28B-CB39-475B-A78F-76509D67B100}" xr6:coauthVersionLast="47" xr6:coauthVersionMax="47" xr10:uidLastSave="{00000000-0000-0000-0000-000000000000}"/>
  <bookViews>
    <workbookView xWindow="-120" yWindow="-120" windowWidth="20730" windowHeight="11040" firstSheet="3" activeTab="6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2" l="1"/>
  <c r="B4" i="2"/>
  <c r="B8" i="7"/>
  <c r="B9" i="7"/>
  <c r="B7" i="7"/>
  <c r="B3" i="7"/>
  <c r="B4" i="7"/>
  <c r="B2" i="7"/>
  <c r="B4" i="4"/>
  <c r="B3" i="4"/>
  <c r="B2" i="4"/>
  <c r="B4" i="9"/>
  <c r="B3" i="9"/>
  <c r="B6" i="8"/>
  <c r="B5" i="8"/>
  <c r="B4" i="8"/>
  <c r="B3" i="8"/>
  <c r="B4" i="6" a="1"/>
  <c r="B4" i="6" s="1"/>
  <c r="B5" i="6" a="1"/>
  <c r="B5" i="6" s="1"/>
  <c r="B6" i="6" a="1"/>
  <c r="B6" i="6" s="1"/>
  <c r="B3" i="6" a="1"/>
  <c r="B3" i="6" s="1"/>
  <c r="B4" i="1"/>
  <c r="B5" i="1"/>
  <c r="B6" i="1"/>
  <c r="B3" i="1"/>
  <c r="I23" i="9"/>
  <c r="I22" i="9"/>
  <c r="H23" i="8"/>
  <c r="H22" i="8"/>
  <c r="I23" i="6"/>
  <c r="I22" i="6"/>
  <c r="H22" i="1"/>
  <c r="H2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<sst xmlns="http://schemas.openxmlformats.org/spreadsheetml/2006/main" count="486" uniqueCount="93">
  <si>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</si>
  <si>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</si>
  <si>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</si>
  <si>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</si>
  <si>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</si>
  <si>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</si>
  <si>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</si>
  <si>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</si>
  <si>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</si>
  <si>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</si>
  <si>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</si>
  <si>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</si>
  <si>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</si>
  <si>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</si>
  <si>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</si>
  <si>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</si>
  <si>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</si>
  <si>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</si>
  <si>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</si>
  <si>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</si>
  <si>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</si>
  <si>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</si>
  <si>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</si>
  <si>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</si>
  <si>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</si>
  <si>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</si>
  <si>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</si>
  <si>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</si>
  <si>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</si>
  <si>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</si>
  <si>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</si>
  <si>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</si>
  <si>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</si>
  <si>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</si>
  <si>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</si>
  <si>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</si>
  <si>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</si>
  <si>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</si>
  <si>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</si>
  <si>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</si>
  <si>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</si>
  <si>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</si>
  <si>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</si>
  <si>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</si>
  <si>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</si>
  <si>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</si>
  <si>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</si>
  <si>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</si>
  <si>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</si>
  <si>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</si>
  <si>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</si>
  <si>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</si>
  <si>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</si>
  <si>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</si>
  <si>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</si>
  <si>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</si>
  <si>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</si>
  <si>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</si>
  <si>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</si>
  <si>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</si>
  <si>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</si>
  <si>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</si>
  <si>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</si>
  <si>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</si>
  <si>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</si>
  <si>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</si>
  <si>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</si>
  <si>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</si>
  <si>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</si>
  <si>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</si>
  <si>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</si>
  <si>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</si>
  <si>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</si>
  <si>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</si>
  <si>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</si>
  <si>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</si>
  <si>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</si>
  <si>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</si>
  <si>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</si>
  <si>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</si>
  <si>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</si>
  <si>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</si>
  <si>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</si>
  <si>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</si>
  <si>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</si>
  <si>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</si>
  <si>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Toby Flender</t>
  </si>
  <si>
    <t>Kevin Malo</t>
  </si>
  <si>
    <t>Start Date</t>
  </si>
  <si>
    <t>Person</t>
  </si>
  <si>
    <t>1/1/2000</t>
  </si>
  <si>
    <t>Address</t>
  </si>
  <si>
    <t xml:space="preserve">April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</si>
</sst>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Stanley.Hudso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P23"/>
  <sheetViews>
    <sheetView workbookViewId="0">
      <selection activeCell="D5" sqref="D5"/>
    </sheetView>
  </sheetViews>
  <sheetFormatPr defaultRowHeight="15" x14ac:dyDescent="0.25"/>
  <cols>
    <col min="2" max="2" width="24.5703125" customWidth="1"/>
    <col min="8" max="8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91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65</v>
      </c>
      <c r="B3" t="str">
        <f>_xlfn.XLOOKUP(A3,H2:H10,P2:P10)</f>
        <v>Toby.Flenderson@DunderMifflinCorporate.com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62</v>
      </c>
      <c r="B4" t="str">
        <f t="shared" ref="B4:B6" si="0">_xlfn.XLOOKUP(A4,H3:H11,P3:P11)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67</v>
      </c>
      <c r="B5" t="str">
        <f t="shared" si="0"/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A6" t="s">
        <v>69</v>
      </c>
      <c r="B6" t="str">
        <f t="shared" si="0"/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8:8" x14ac:dyDescent="0.25">
      <c r="H22" t="str">
        <f t="shared" ref="H22:H23" si="1">CONCATENATE(F12," ",G12)</f>
        <v xml:space="preserve"> </v>
      </c>
    </row>
    <row r="23" spans="8:8" x14ac:dyDescent="0.25">
      <c r="H23" t="str">
        <f t="shared" si="1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workbookViewId="0">
      <selection activeCell="B3" sqref="B3:B6"/>
    </sheetView>
  </sheetViews>
  <sheetFormatPr defaultRowHeight="15" x14ac:dyDescent="0.25"/>
  <cols>
    <col min="1" max="1" width="14.7109375" bestFit="1" customWidth="1"/>
    <col min="3" max="3" width="24.5703125" customWidth="1"/>
    <col min="9" max="9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8</v>
      </c>
      <c r="C2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65</v>
      </c>
      <c r="B3" t="str" cm="1">
        <f t="array" ref="B3:C3">_xlfn.XLOOKUP(A3,I2:I10,O2:P10)</f>
        <v>8/30/2017</v>
      </c>
      <c r="C3" t="str">
        <v>Toby.Flenderson@DunderMifflinCorporate.com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62</v>
      </c>
      <c r="B4" t="str" cm="1">
        <f t="array" ref="B4:C4">_xlfn.XLOOKUP(A4,I3:I11,O3:P11)</f>
        <v>10/10/2015</v>
      </c>
      <c r="C4" t="str">
        <v>Pam.Beasley@DunderMifflin.com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67</v>
      </c>
      <c r="B5" t="str" cm="1">
        <f t="array" ref="B5:C5">_xlfn.XLOOKUP(A5,I4:I12,O4:P12)</f>
        <v>9/11/2013</v>
      </c>
      <c r="C5" t="str">
        <v>Meredith.Palmer@Yahoo.com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A6" t="s">
        <v>69</v>
      </c>
      <c r="B6" t="str" cm="1">
        <f t="array" ref="B6:C6">_xlfn.XLOOKUP(A6,I5:I13,O5:P13)</f>
        <v>4/22/2015</v>
      </c>
      <c r="C6" t="str">
        <v>Kevin.Malone@DunderMifflin.com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25">
      <c r="I22" t="str">
        <f t="shared" ref="I22:I23" si="0">CONCATENATE(G12," ",H12)</f>
        <v xml:space="preserve"> </v>
      </c>
    </row>
    <row r="23" spans="9:9" x14ac:dyDescent="0.25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zoomScale="113" workbookViewId="0">
      <selection activeCell="B5" sqref="B5:B6"/>
    </sheetView>
  </sheetViews>
  <sheetFormatPr defaultRowHeight="15" x14ac:dyDescent="0.25"/>
  <cols>
    <col min="1" max="1" width="14.7109375" bestFit="1" customWidth="1"/>
    <col min="2" max="2" width="21.42578125" customWidth="1"/>
    <col min="8" max="8" width="14.7109375" bestFit="1" customWidth="1"/>
    <col min="11" max="11" width="15.7109375" bestFit="1" customWidth="1"/>
    <col min="15" max="15" width="40.7109375" bestFit="1" customWidth="1"/>
  </cols>
  <sheetData>
    <row r="1" spans="1:15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25">
      <c r="A3" t="s">
        <v>86</v>
      </c>
      <c r="B3" t="str">
        <f>_xlfn.XLOOKUP(A3,H2:H10,O2:O10,"Not Found")</f>
        <v>Not Found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25">
      <c r="A4" t="s">
        <v>18</v>
      </c>
      <c r="B4" t="str">
        <f>_xlfn.XLOOKUP("*"&amp;A4,H2:H10,O2:O10,"Not Found",2)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25">
      <c r="A5" t="s">
        <v>46</v>
      </c>
      <c r="B5" t="str">
        <f>_xlfn.XLOOKUP(A5&amp;"*",H3:H11,O3:O11,"Not Found",2)</f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25">
      <c r="A6" t="s">
        <v>87</v>
      </c>
      <c r="B6" t="str">
        <f>_xlfn.XLOOKUP(A6&amp;"*",H4:H12,O4:O12,"Not Found",2)</f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22" spans="8:8" x14ac:dyDescent="0.25">
      <c r="H22" t="str">
        <f t="shared" ref="H22:H23" si="0">CONCATENATE(F12," ",G12)</f>
        <v xml:space="preserve"> </v>
      </c>
    </row>
    <row r="23" spans="8:8" x14ac:dyDescent="0.25">
      <c r="H23" t="str">
        <f t="shared" si="0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workbookViewId="0">
      <selection activeCell="B5" sqref="B5"/>
    </sheetView>
  </sheetViews>
  <sheetFormatPr defaultRowHeight="15" x14ac:dyDescent="0.25"/>
  <cols>
    <col min="1" max="1" width="14.7109375" bestFit="1" customWidth="1"/>
    <col min="2" max="2" width="14.7109375" customWidth="1"/>
    <col min="3" max="3" width="24.5703125" customWidth="1"/>
    <col min="9" max="9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88</v>
      </c>
      <c r="B2" t="s">
        <v>89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s="1" t="s">
        <v>90</v>
      </c>
      <c r="B3" t="str">
        <f>_xlfn.XLOOKUP(A3,N2:N10,I2:I10,,1)</f>
        <v>Angela Martin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s="1" t="s">
        <v>38</v>
      </c>
      <c r="B4" t="str">
        <f>_xlfn.XLOOKUP(A4,N2:N10,I2:I10,,,1)</f>
        <v>Toby Flenderson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25">
      <c r="I22" t="str">
        <f t="shared" ref="I22:I23" si="0">CONCATENATE(G12," ",H12)</f>
        <v xml:space="preserve"> </v>
      </c>
    </row>
    <row r="23" spans="9:9" x14ac:dyDescent="0.25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4"/>
  <sheetViews>
    <sheetView workbookViewId="0">
      <selection activeCell="B2" sqref="B2"/>
    </sheetView>
  </sheetViews>
  <sheetFormatPr defaultColWidth="10.140625" defaultRowHeight="15" x14ac:dyDescent="0.25"/>
  <cols>
    <col min="7" max="7" width="12.140625" bestFit="1" customWidth="1"/>
  </cols>
  <sheetData>
    <row r="1" spans="1:19" x14ac:dyDescent="0.25">
      <c r="B1" t="s">
        <v>92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5">
      <c r="A2" t="s">
        <v>70</v>
      </c>
      <c r="B2">
        <f>_xlfn.XLOOKUP(K1,H1:S1,H2:S2)</f>
        <v>750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5">
      <c r="A3" t="s">
        <v>71</v>
      </c>
      <c r="B3">
        <f>_xlfn.XLOOKUP(K2,H2:S2,H3:S3)</f>
        <v>50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5">
      <c r="A4" t="s">
        <v>84</v>
      </c>
      <c r="B4">
        <f>_xlfn.XLOOKUP(K3,H3:S3,H4:S4)</f>
        <v>210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9"/>
  <sheetViews>
    <sheetView workbookViewId="0">
      <selection activeCell="B7" sqref="B7:B9"/>
    </sheetView>
  </sheetViews>
  <sheetFormatPr defaultColWidth="10.140625" defaultRowHeight="15" x14ac:dyDescent="0.25"/>
  <cols>
    <col min="7" max="7" width="12.140625" bestFit="1" customWidth="1"/>
  </cols>
  <sheetData>
    <row r="1" spans="1:19" x14ac:dyDescent="0.2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5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5">
      <c r="A3" t="s">
        <v>71</v>
      </c>
      <c r="B3">
        <f t="shared" ref="B3:B4" si="0"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5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25">
      <c r="B6" t="s">
        <v>85</v>
      </c>
    </row>
    <row r="7" spans="1:19" x14ac:dyDescent="0.25">
      <c r="A7" t="s">
        <v>70</v>
      </c>
      <c r="B7">
        <f>SUM(_xlfn.XLOOKUP(I1,H1:S1,H2:S2):_xlfn.XLOOKUP(J1,H1:S1,H2:S2))</f>
        <v>460</v>
      </c>
    </row>
    <row r="8" spans="1:19" x14ac:dyDescent="0.25">
      <c r="B8">
        <f>SUM(_xlfn.XLOOKUP(I2,H2:S2,H3:S3):_xlfn.XLOOKUP(J2,H2:S2,H3:S3))</f>
        <v>105</v>
      </c>
    </row>
    <row r="9" spans="1:19" x14ac:dyDescent="0.25">
      <c r="B9">
        <f>SUM(_xlfn.XLOOKUP(I3,H3:S3,H4:S4):_xlfn.XLOOKUP(J3,H3:S3,H4:S4))</f>
        <v>263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P10"/>
  <sheetViews>
    <sheetView tabSelected="1" workbookViewId="0">
      <selection activeCell="F23" sqref="F23"/>
    </sheetView>
  </sheetViews>
  <sheetFormatPr defaultRowHeight="15" x14ac:dyDescent="0.25"/>
  <cols>
    <col min="1" max="1" width="14.42578125" customWidth="1"/>
  </cols>
  <sheetData>
    <row r="1" spans="1:16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91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63</v>
      </c>
      <c r="B3" s="3" t="s">
        <v>55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66</v>
      </c>
      <c r="B4" t="str">
        <f>VLOOKUP(A4,H3:P11,9,FALSE)</f>
        <v>Michael.Scott@DunderMifflin.com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68</v>
      </c>
      <c r="B5" t="str">
        <f>VLOOKUP(A5,H4:P12,9,FALSE)</f>
        <v>Stanley.Hudson@gmail.com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</sheetData>
  <hyperlinks>
    <hyperlink ref="B3" r:id="rId1" xr:uid="{17D0A594-595B-4C09-9088-24EC3A9D378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Dumo David-ogoloma</cp:lastModifiedBy>
  <dcterms:created xsi:type="dcterms:W3CDTF">2021-12-20T02:45:32Z</dcterms:created>
  <dcterms:modified xsi:type="dcterms:W3CDTF">2026-04-27T15:47:05Z</dcterms:modified>
</cp:coreProperties>
</file>